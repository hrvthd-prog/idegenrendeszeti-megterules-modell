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Útmutató" sheetId="1" state="visible" r:id="rId1"/>
    <sheet xmlns:r="http://schemas.openxmlformats.org/officeDocument/2006/relationships" name="Adatok" sheetId="2" state="visible" r:id="rId2"/>
    <sheet xmlns:r="http://schemas.openxmlformats.org/officeDocument/2006/relationships" name="Összegzé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&quot; Ft&quot;"/>
    <numFmt numFmtId="166" formatCode="0.0%"/>
  </numFmts>
  <fonts count="9">
    <font>
      <name val="Calibri"/>
      <family val="2"/>
      <color theme="1"/>
      <sz val="11"/>
      <scheme val="minor"/>
    </font>
    <font>
      <b val="1"/>
      <color rgb="001F4E79"/>
      <sz val="15"/>
    </font>
    <font>
      <b val="1"/>
      <color rgb="001F4E79"/>
      <sz val="11"/>
    </font>
    <font>
      <b val="1"/>
      <color rgb="001F4E79"/>
      <sz val="14"/>
    </font>
    <font>
      <i val="1"/>
      <color rgb="00808080"/>
      <sz val="9"/>
    </font>
    <font>
      <b val="1"/>
      <color rgb="00FFFFFF"/>
      <sz val="10"/>
    </font>
    <font>
      <b val="1"/>
    </font>
    <font>
      <b val="1"/>
      <color rgb="001F4E79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164" fontId="0" fillId="4" borderId="1" pivotButton="0" quotePrefix="0" xfId="0"/>
    <xf numFmtId="165" fontId="0" fillId="3" borderId="1" pivotButton="0" quotePrefix="0" xfId="0"/>
    <xf numFmtId="165" fontId="0" fillId="4" borderId="1" pivotButton="0" quotePrefix="0" xfId="0"/>
    <xf numFmtId="0" fontId="6" fillId="0" borderId="0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  <xf numFmtId="0" fontId="7" fillId="0" borderId="0" pivotButton="0" quotePrefix="0" xfId="0"/>
    <xf numFmtId="166" fontId="0" fillId="3" borderId="1" pivotButton="0" quotePrefix="0" xfId="0"/>
    <xf numFmtId="165" fontId="6" fillId="4" borderId="1" pivotButton="0" quotePrefix="0" xfId="0"/>
    <xf numFmtId="0" fontId="8" fillId="0" borderId="0" pivotButton="0" quotePrefix="0" xfId="0"/>
    <xf numFmtId="165" fontId="8" fillId="5" borderId="1" pivotButton="0" quotePrefix="0" xfId="0"/>
    <xf numFmtId="166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Elkerült szolgáltatási díj vs. munkáltatói költség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'Összegzés'!B28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'Összegzés'!$A$29:$A$31</f>
            </numRef>
          </cat>
          <val>
            <numRef>
              <f>'Összegzés'!$B$29:$B$31</f>
            </numRef>
          </val>
        </ser>
        <ser>
          <idx val="1"/>
          <order val="1"/>
          <tx>
            <strRef>
              <f>'Összegzés'!C28</f>
            </strRef>
          </tx>
          <spPr>
            <a:ln xmlns:a="http://schemas.openxmlformats.org/drawingml/2006/main">
              <a:prstDash val="solid"/>
            </a:ln>
          </spPr>
          <cat>
            <numRef>
              <f>'Összegzés'!$A$29:$A$31</f>
            </numRef>
          </cat>
          <val>
            <numRef>
              <f>'Összegzés'!$C$29:$C$31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HUF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64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A1" s="1" t="inlineStr">
        <is>
          <t>Idegenrendészeti ügyintézés házon belül – megtérülési kimutatás</t>
        </is>
      </c>
    </row>
    <row r="3">
      <c r="B3" s="2" t="inlineStr">
        <is>
          <t>Mit mutat ez a munkafüzet?</t>
        </is>
      </c>
    </row>
    <row r="4" ht="42" customHeight="1">
      <c r="B4" s="3" t="inlineStr">
        <is>
          <t>Azt a pénzbeli megtakarítást, ami abból keletkezik, hogy az idegenrendészeti ügyintézést a vállalat házon belül végzi, és nem külső szolgáltatónak fizet szolgáltatási díjat. A megtakarítást a pozíció teljes munkáltatói költségével állítja szembe.</t>
        </is>
      </c>
    </row>
    <row r="6">
      <c r="B6" s="2" t="inlineStr">
        <is>
          <t>Használat – 3 lépés</t>
        </is>
      </c>
    </row>
    <row r="7" ht="28" customHeight="1">
      <c r="B7" s="3" t="inlineStr">
        <is>
          <t>1.  „Adatok” lap: töltsd ki a SÁRGA cellákat soronként (ügytípus, érintett fő, hosszabbítási ciklus, külső szolgáltatói díj / ügy). A szürke cellák számítottak – ne írd át őket.</t>
        </is>
      </c>
    </row>
    <row r="8" ht="28" customHeight="1">
      <c r="B8" s="3" t="inlineStr">
        <is>
          <t>2.  „Összegzés” lap, 1. blokk: írd be a bruttó bért, a hónapok számát, a szocho kulcsot és az egyéb munkáltatói ráfordítást.</t>
        </is>
      </c>
    </row>
    <row r="9" ht="28" customHeight="1">
      <c r="B9" s="3" t="inlineStr">
        <is>
          <t>3.  Ennyi. A 2–4. blokk és a diagram automatikusan frissül; a prezentációba ezekből a számokból kell átvenni.</t>
        </is>
      </c>
    </row>
    <row r="11">
      <c r="B11" s="2" t="inlineStr">
        <is>
          <t>Módszertani döntések – ezekre egy pénzügyes rá fog kérdezni</t>
        </is>
      </c>
    </row>
    <row r="12" ht="42" customHeight="1">
      <c r="B12" s="3" t="inlineStr">
        <is>
          <t>•  Évesítés:  a 2–4 évente hosszabbítandó ügyeket nem a tényleges évükben számoljuk el, hanem elosztjuk a ciklus hosszával (pl. 3 éves ciklus esetén az érintett fő egyharmada esik egy évre). Így nincs mesterségesen jó vagy gyenge év, és nem vádolható a kimutatás cseresznyézéssel.</t>
        </is>
      </c>
    </row>
    <row r="13" ht="42" customHeight="1">
      <c r="B13" s="3" t="inlineStr">
        <is>
          <t>•  Eljárási illeték:  az államnak fizetett illeték KI VAN VÉVE a megtakarításból, mert azt belső és külső ügyintézés esetén egyaránt fizetni kell. Csak tájékoztató oszlopként szerepel. Ez lenne a kimutatás legtámadhatóbb pontja – ezért van előre kizárva.</t>
        </is>
      </c>
    </row>
    <row r="14" ht="28" customHeight="1">
      <c r="B14" s="3" t="inlineStr">
        <is>
          <t>•  Költségoldal:  teljes munkáltatói költség (bruttó bér + szociális hozzájárulási adó + egyéb munkáltatói ráfordítás), nem csak a bruttó bér. Ez a korrekt összehasonlítás.</t>
        </is>
      </c>
    </row>
    <row r="15" ht="42" customHeight="1">
      <c r="B15" s="3" t="inlineStr">
        <is>
          <t>•  Csak kemény számok:  elkerült bírság, felszabaduló HR-idő, rövidebb átfutási idő NINCS beszámítva. Ezek valós előnyök, de nem készpénz jellegűek – ha a modell nélkülük is pozitív, erősebb az állítás. Érvként szóban elmondhatók, számként nem szerepelnek.</t>
        </is>
      </c>
    </row>
    <row r="17">
      <c r="B17" s="2" t="inlineStr">
        <is>
          <t>Amit a bemutatás előtt érdemes alátámasztásként becsatolni</t>
        </is>
      </c>
    </row>
    <row r="18" ht="14" customHeight="1">
      <c r="B18" s="3" t="inlineStr">
        <is>
          <t>•  A korábbi külső szolgáltató árlistája vagy a kiállított számlák → a „Díj / ügy” oszlop alátámasztása.</t>
        </is>
      </c>
    </row>
    <row r="19" ht="28" customHeight="1">
      <c r="B19" s="3" t="inlineStr">
        <is>
          <t>•  Az ügyintézési napló vagy a kezelt ügyek listája → az „Érintett fő” és a „Tény ügyszám” oszlopok alátámasztása.</t>
        </is>
      </c>
    </row>
    <row r="20" ht="14" customHeight="1">
      <c r="B20" s="3" t="inlineStr">
        <is>
          <t>•  A bérköltség-adatok HR / bérszámfejtés általi visszaigazolása.</t>
        </is>
      </c>
    </row>
    <row r="22">
      <c r="B22" s="2" t="inlineStr">
        <is>
          <t>Színkód</t>
        </is>
      </c>
    </row>
    <row r="23" ht="14" customHeight="1">
      <c r="B23" s="3" t="inlineStr">
        <is>
          <t>SÁRGA = kitöltendő bemeneti adat        SZÜRKE = számított, ne írd át        ZÖLD = végeredmény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13" customWidth="1" min="3" max="3"/>
    <col width="12" customWidth="1" min="4" max="4"/>
    <col width="13" customWidth="1" min="5" max="5"/>
    <col width="18" customWidth="1" min="6" max="6"/>
    <col width="18" customWidth="1" min="7" max="7"/>
    <col width="18" customWidth="1" min="8" max="8"/>
    <col width="20" customWidth="1" min="9" max="9"/>
    <col width="42" customWidth="1" min="10" max="10"/>
  </cols>
  <sheetData>
    <row r="1">
      <c r="A1" s="4" t="inlineStr">
        <is>
          <t>Ügytípusok, darabszámok és külső szolgáltatói díjak</t>
        </is>
      </c>
    </row>
    <row r="2">
      <c r="A2" s="5" t="inlineStr">
        <is>
          <t>Minden sárga cella kitöltendő. Az ügytípus-megnevezések szabadon átírhatók, a felsorolás csak kiindulópont. Üres sor nem zavar, a végösszeg kezeli.</t>
        </is>
      </c>
    </row>
    <row r="4" ht="42" customHeight="1">
      <c r="A4" s="6" t="inlineStr">
        <is>
          <t>Ügytípus</t>
        </is>
      </c>
      <c r="B4" s="6" t="inlineStr">
        <is>
          <t>Érintett fő</t>
        </is>
      </c>
      <c r="C4" s="6" t="inlineStr">
        <is>
          <t>Hosszabbítási
ciklus (év)</t>
        </is>
      </c>
      <c r="D4" s="6" t="inlineStr">
        <is>
          <t>Évesített
ügyszám
(számított)</t>
        </is>
      </c>
      <c r="E4" s="6" t="inlineStr">
        <is>
          <t>Tény ügyszám
elmúlt 12 hó</t>
        </is>
      </c>
      <c r="F4" s="6" t="inlineStr">
        <is>
          <t>Külső szolgáltatói
díj / ügy</t>
        </is>
      </c>
      <c r="G4" s="6" t="inlineStr">
        <is>
          <t>Elkerült díj –
évesített</t>
        </is>
      </c>
      <c r="H4" s="6" t="inlineStr">
        <is>
          <t>Elkerült díj –
tény 12 hó</t>
        </is>
      </c>
      <c r="I4" s="6" t="inlineStr">
        <is>
          <t>Eljárási illeték / ügy
(tájékoztató, nem
megtakarítás)</t>
        </is>
      </c>
      <c r="J4" s="6" t="inlineStr">
        <is>
          <t>Megjegyzés / forrás</t>
        </is>
      </c>
    </row>
    <row r="5">
      <c r="A5" s="7" t="inlineStr">
        <is>
          <t>Tartózkodási engedély – új kérelem (munkavállalási cél)</t>
        </is>
      </c>
      <c r="B5" s="8" t="n"/>
      <c r="C5" s="8" t="n"/>
      <c r="D5" s="9">
        <f>IFERROR(B5/C5,"")</f>
        <v/>
      </c>
      <c r="E5" s="8" t="n"/>
      <c r="F5" s="10" t="n"/>
      <c r="G5" s="11">
        <f>IFERROR(ROUND(D5*F5,0),"")</f>
        <v/>
      </c>
      <c r="H5" s="11">
        <f>IFERROR(ROUND(E5*F5,0),"")</f>
        <v/>
      </c>
      <c r="I5" s="10" t="n"/>
      <c r="J5" s="7" t="n"/>
    </row>
    <row r="6">
      <c r="A6" s="7" t="inlineStr">
        <is>
          <t>Tartózkodási engedély – hosszabbítás (1 éves ciklus)</t>
        </is>
      </c>
      <c r="B6" s="8" t="n"/>
      <c r="C6" s="8" t="n"/>
      <c r="D6" s="9">
        <f>IFERROR(B6/C6,"")</f>
        <v/>
      </c>
      <c r="E6" s="8" t="n"/>
      <c r="F6" s="10" t="n"/>
      <c r="G6" s="11">
        <f>IFERROR(ROUND(D6*F6,0),"")</f>
        <v/>
      </c>
      <c r="H6" s="11">
        <f>IFERROR(ROUND(E6*F6,0),"")</f>
        <v/>
      </c>
      <c r="I6" s="10" t="n"/>
      <c r="J6" s="7" t="n"/>
    </row>
    <row r="7">
      <c r="A7" s="7" t="inlineStr">
        <is>
          <t>Tartózkodási engedély – hosszabbítás (2 éves ciklus)</t>
        </is>
      </c>
      <c r="B7" s="8" t="n"/>
      <c r="C7" s="8" t="n"/>
      <c r="D7" s="9">
        <f>IFERROR(B7/C7,"")</f>
        <v/>
      </c>
      <c r="E7" s="8" t="n"/>
      <c r="F7" s="10" t="n"/>
      <c r="G7" s="11">
        <f>IFERROR(ROUND(D7*F7,0),"")</f>
        <v/>
      </c>
      <c r="H7" s="11">
        <f>IFERROR(ROUND(E7*F7,0),"")</f>
        <v/>
      </c>
      <c r="I7" s="10" t="n"/>
      <c r="J7" s="7" t="n"/>
    </row>
    <row r="8">
      <c r="A8" s="7" t="inlineStr">
        <is>
          <t>Tartózkodási engedély – hosszabbítás (3 éves ciklus)</t>
        </is>
      </c>
      <c r="B8" s="8" t="n"/>
      <c r="C8" s="8" t="n"/>
      <c r="D8" s="9">
        <f>IFERROR(B8/C8,"")</f>
        <v/>
      </c>
      <c r="E8" s="8" t="n"/>
      <c r="F8" s="10" t="n"/>
      <c r="G8" s="11">
        <f>IFERROR(ROUND(D8*F8,0),"")</f>
        <v/>
      </c>
      <c r="H8" s="11">
        <f>IFERROR(ROUND(E8*F8,0),"")</f>
        <v/>
      </c>
      <c r="I8" s="10" t="n"/>
      <c r="J8" s="7" t="n"/>
    </row>
    <row r="9">
      <c r="A9" s="7" t="inlineStr">
        <is>
          <t>Tartózkodási engedély – hosszabbítás (4 éves ciklus)</t>
        </is>
      </c>
      <c r="B9" s="8" t="n"/>
      <c r="C9" s="8" t="n"/>
      <c r="D9" s="9">
        <f>IFERROR(B9/C9,"")</f>
        <v/>
      </c>
      <c r="E9" s="8" t="n"/>
      <c r="F9" s="10" t="n"/>
      <c r="G9" s="11">
        <f>IFERROR(ROUND(D9*F9,0),"")</f>
        <v/>
      </c>
      <c r="H9" s="11">
        <f>IFERROR(ROUND(E9*F9,0),"")</f>
        <v/>
      </c>
      <c r="I9" s="10" t="n"/>
      <c r="J9" s="7" t="n"/>
    </row>
    <row r="10">
      <c r="A10" s="7" t="inlineStr">
        <is>
          <t>Tartózkodási engedély – pótlás / csere / adatváltozás</t>
        </is>
      </c>
      <c r="B10" s="8" t="n"/>
      <c r="C10" s="8" t="n"/>
      <c r="D10" s="9">
        <f>IFERROR(B10/C10,"")</f>
        <v/>
      </c>
      <c r="E10" s="8" t="n"/>
      <c r="F10" s="10" t="n"/>
      <c r="G10" s="11">
        <f>IFERROR(ROUND(D10*F10,0),"")</f>
        <v/>
      </c>
      <c r="H10" s="11">
        <f>IFERROR(ROUND(E10*F10,0),"")</f>
        <v/>
      </c>
      <c r="I10" s="10" t="n"/>
      <c r="J10" s="7" t="n"/>
    </row>
    <row r="11">
      <c r="A11" s="7" t="inlineStr">
        <is>
          <t>Szálláshely- és lakcímbejelentés, lakcímváltozás</t>
        </is>
      </c>
      <c r="B11" s="8" t="n"/>
      <c r="C11" s="8" t="n"/>
      <c r="D11" s="9">
        <f>IFERROR(B11/C11,"")</f>
        <v/>
      </c>
      <c r="E11" s="8" t="n"/>
      <c r="F11" s="10" t="n"/>
      <c r="G11" s="11">
        <f>IFERROR(ROUND(D11*F11,0),"")</f>
        <v/>
      </c>
      <c r="H11" s="11">
        <f>IFERROR(ROUND(E11*F11,0),"")</f>
        <v/>
      </c>
      <c r="I11" s="10" t="n"/>
      <c r="J11" s="7" t="n"/>
    </row>
    <row r="12">
      <c r="A12" s="7" t="inlineStr">
        <is>
          <t>Adószám / TAJ-szám igénylése</t>
        </is>
      </c>
      <c r="B12" s="8" t="n"/>
      <c r="C12" s="8" t="n"/>
      <c r="D12" s="9">
        <f>IFERROR(B12/C12,"")</f>
        <v/>
      </c>
      <c r="E12" s="8" t="n"/>
      <c r="F12" s="10" t="n"/>
      <c r="G12" s="11">
        <f>IFERROR(ROUND(D12*F12,0),"")</f>
        <v/>
      </c>
      <c r="H12" s="11">
        <f>IFERROR(ROUND(E12*F12,0),"")</f>
        <v/>
      </c>
      <c r="I12" s="10" t="n"/>
      <c r="J12" s="7" t="n"/>
    </row>
    <row r="13">
      <c r="A13" s="7" t="inlineStr">
        <is>
          <t>Útlevélcsere átvezetése</t>
        </is>
      </c>
      <c r="B13" s="8" t="n"/>
      <c r="C13" s="8" t="n"/>
      <c r="D13" s="9">
        <f>IFERROR(B13/C13,"")</f>
        <v/>
      </c>
      <c r="E13" s="8" t="n"/>
      <c r="F13" s="10" t="n"/>
      <c r="G13" s="11">
        <f>IFERROR(ROUND(D13*F13,0),"")</f>
        <v/>
      </c>
      <c r="H13" s="11">
        <f>IFERROR(ROUND(E13*F13,0),"")</f>
        <v/>
      </c>
      <c r="I13" s="10" t="n"/>
      <c r="J13" s="7" t="n"/>
    </row>
    <row r="14">
      <c r="A14" s="7" t="inlineStr">
        <is>
          <t>Igazolások, egyéb hatósági ügyintézés</t>
        </is>
      </c>
      <c r="B14" s="8" t="n"/>
      <c r="C14" s="8" t="n"/>
      <c r="D14" s="9">
        <f>IFERROR(B14/C14,"")</f>
        <v/>
      </c>
      <c r="E14" s="8" t="n"/>
      <c r="F14" s="10" t="n"/>
      <c r="G14" s="11">
        <f>IFERROR(ROUND(D14*F14,0),"")</f>
        <v/>
      </c>
      <c r="H14" s="11">
        <f>IFERROR(ROUND(E14*F14,0),"")</f>
        <v/>
      </c>
      <c r="I14" s="10" t="n"/>
      <c r="J14" s="7" t="n"/>
    </row>
    <row r="15">
      <c r="A15" s="7" t="inlineStr"/>
      <c r="B15" s="8" t="n"/>
      <c r="C15" s="8" t="n"/>
      <c r="D15" s="9">
        <f>IFERROR(B15/C15,"")</f>
        <v/>
      </c>
      <c r="E15" s="8" t="n"/>
      <c r="F15" s="10" t="n"/>
      <c r="G15" s="11">
        <f>IFERROR(ROUND(D15*F15,0),"")</f>
        <v/>
      </c>
      <c r="H15" s="11">
        <f>IFERROR(ROUND(E15*F15,0),"")</f>
        <v/>
      </c>
      <c r="I15" s="10" t="n"/>
      <c r="J15" s="7" t="n"/>
    </row>
    <row r="16">
      <c r="A16" s="7" t="inlineStr"/>
      <c r="B16" s="8" t="n"/>
      <c r="C16" s="8" t="n"/>
      <c r="D16" s="9">
        <f>IFERROR(B16/C16,"")</f>
        <v/>
      </c>
      <c r="E16" s="8" t="n"/>
      <c r="F16" s="10" t="n"/>
      <c r="G16" s="11">
        <f>IFERROR(ROUND(D16*F16,0),"")</f>
        <v/>
      </c>
      <c r="H16" s="11">
        <f>IFERROR(ROUND(E16*F16,0),"")</f>
        <v/>
      </c>
      <c r="I16" s="10" t="n"/>
      <c r="J16" s="7" t="n"/>
    </row>
    <row r="17">
      <c r="A17" s="7" t="inlineStr"/>
      <c r="B17" s="8" t="n"/>
      <c r="C17" s="8" t="n"/>
      <c r="D17" s="9">
        <f>IFERROR(B17/C17,"")</f>
        <v/>
      </c>
      <c r="E17" s="8" t="n"/>
      <c r="F17" s="10" t="n"/>
      <c r="G17" s="11">
        <f>IFERROR(ROUND(D17*F17,0),"")</f>
        <v/>
      </c>
      <c r="H17" s="11">
        <f>IFERROR(ROUND(E17*F17,0),"")</f>
        <v/>
      </c>
      <c r="I17" s="10" t="n"/>
      <c r="J17" s="7" t="n"/>
    </row>
    <row r="18">
      <c r="A18" s="7" t="inlineStr"/>
      <c r="B18" s="8" t="n"/>
      <c r="C18" s="8" t="n"/>
      <c r="D18" s="9">
        <f>IFERROR(B18/C18,"")</f>
        <v/>
      </c>
      <c r="E18" s="8" t="n"/>
      <c r="F18" s="10" t="n"/>
      <c r="G18" s="11">
        <f>IFERROR(ROUND(D18*F18,0),"")</f>
        <v/>
      </c>
      <c r="H18" s="11">
        <f>IFERROR(ROUND(E18*F18,0),"")</f>
        <v/>
      </c>
      <c r="I18" s="10" t="n"/>
      <c r="J18" s="7" t="n"/>
    </row>
    <row r="19">
      <c r="A19" s="7" t="inlineStr"/>
      <c r="B19" s="8" t="n"/>
      <c r="C19" s="8" t="n"/>
      <c r="D19" s="9">
        <f>IFERROR(B19/C19,"")</f>
        <v/>
      </c>
      <c r="E19" s="8" t="n"/>
      <c r="F19" s="10" t="n"/>
      <c r="G19" s="11">
        <f>IFERROR(ROUND(D19*F19,0),"")</f>
        <v/>
      </c>
      <c r="H19" s="11">
        <f>IFERROR(ROUND(E19*F19,0),"")</f>
        <v/>
      </c>
      <c r="I19" s="10" t="n"/>
      <c r="J19" s="7" t="n"/>
    </row>
    <row r="20">
      <c r="A20" s="12" t="inlineStr">
        <is>
          <t>ÖSSZESEN</t>
        </is>
      </c>
      <c r="B20" s="13">
        <f>SUM(B5:B19)</f>
        <v/>
      </c>
      <c r="D20" s="14">
        <f>SUM(D5:D19)</f>
        <v/>
      </c>
      <c r="E20" s="13">
        <f>SUM(E5:E19)</f>
        <v/>
      </c>
      <c r="G20" s="15">
        <f>SUM(G5:G19)</f>
        <v/>
      </c>
      <c r="H20" s="15">
        <f>SUM(H5:H19)</f>
        <v/>
      </c>
      <c r="I20" s="15">
        <f>SUMPRODUCT(IFERROR(D5:D19,0),IFERROR(I5:I19,0))</f>
        <v/>
      </c>
    </row>
    <row r="22">
      <c r="A22" s="5" t="inlineStr">
        <is>
          <t>Az illeték-összesen évesített ügyszámmal számolt tájékoztató adat – a megtakarításban NEM szerepel, mert külső ügyintézés esetén is fizetni kellene.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20" customWidth="1" min="2" max="2"/>
    <col width="20" customWidth="1" min="3" max="3"/>
    <col width="20" customWidth="1" min="4" max="4"/>
    <col width="56" customWidth="1" min="5" max="5"/>
  </cols>
  <sheetData>
    <row r="1">
      <c r="A1" s="4" t="inlineStr">
        <is>
          <t>Megtérülési kimutatás – idegenrendészeti ügyintézés házon belül</t>
        </is>
      </c>
    </row>
    <row r="2">
      <c r="A2" s="5" t="inlineStr">
        <is>
          <t>Minden összeg HUF. Csak a sárga cellákat kell kitölteni.</t>
        </is>
      </c>
    </row>
    <row r="4">
      <c r="A4" s="16" t="inlineStr">
        <is>
          <t>1.  Költségoldal – teljes munkáltatói költség</t>
        </is>
      </c>
    </row>
    <row r="5">
      <c r="A5" t="inlineStr">
        <is>
          <t>Bruttó alapbér / hó</t>
        </is>
      </c>
      <c r="B5" s="10" t="n"/>
      <c r="E5" s="5" t="inlineStr">
        <is>
          <t>A HR / bérszámfejtés által visszaigazolt összeg</t>
        </is>
      </c>
    </row>
    <row r="6">
      <c r="A6" t="inlineStr">
        <is>
          <t>Figyelembe vett hónapok / év</t>
        </is>
      </c>
      <c r="B6" s="8" t="n">
        <v>12</v>
      </c>
      <c r="E6" s="5" t="inlineStr">
        <is>
          <t>Ha van 13. havi vagy bónusz, itt növeld (pl. 13)</t>
        </is>
      </c>
    </row>
    <row r="7">
      <c r="A7" t="inlineStr">
        <is>
          <t>Szociális hozzájárulási adó (szocho)</t>
        </is>
      </c>
      <c r="B7" s="17" t="n">
        <v>0.13</v>
      </c>
      <c r="E7" s="5" t="inlineStr">
        <is>
          <t>Az aktuális kulcs – ellenőrizd a bérszámfejtésnél</t>
        </is>
      </c>
    </row>
    <row r="8">
      <c r="A8" t="inlineStr">
        <is>
          <t>Egyéb munkáltatói ráfordítás / év</t>
        </is>
      </c>
      <c r="B8" s="10" t="n"/>
      <c r="E8" s="5" t="inlineStr">
        <is>
          <t>Eszköz, telefon, képzés, utazás – ha nincs adat, 0</t>
        </is>
      </c>
    </row>
    <row r="9">
      <c r="A9" s="12" t="inlineStr">
        <is>
          <t>Teljes munkáltatói költség / év</t>
        </is>
      </c>
      <c r="B9" s="18">
        <f>ROUND(B5*B6*(1+B7)+B8,0)</f>
        <v/>
      </c>
      <c r="E9" s="5">
        <f> bruttó × hónapok × (1 + szocho) + egyéb ráfordítás</f>
        <v/>
      </c>
    </row>
    <row r="11">
      <c r="A11" s="16" t="inlineStr">
        <is>
          <t>2.  Eredmény – évesített nézet</t>
        </is>
      </c>
    </row>
    <row r="12">
      <c r="A12" t="inlineStr">
        <is>
          <t>Elkerült külső szolgáltatási díj (évesített)</t>
        </is>
      </c>
      <c r="B12" s="11">
        <f>'Adatok'!G20</f>
        <v/>
      </c>
    </row>
    <row r="13">
      <c r="A13" t="inlineStr">
        <is>
          <t>Teljes munkáltatói költség (mínusz)</t>
        </is>
      </c>
      <c r="B13" s="11">
        <f>-B9</f>
        <v/>
      </c>
    </row>
    <row r="14">
      <c r="A14" s="19" t="inlineStr">
        <is>
          <t>NETTÓ MEGTAKARÍTÁS / ÉV</t>
        </is>
      </c>
      <c r="B14" s="20">
        <f>B12+B13</f>
        <v/>
      </c>
    </row>
    <row r="15">
      <c r="A15" t="inlineStr">
        <is>
          <t>Megtérülés  (nettó megtakarítás / munkáltatói költség)</t>
        </is>
      </c>
      <c r="B15" s="21">
        <f>IFERROR(B14/B9,"")</f>
        <v/>
      </c>
      <c r="E15" s="5" t="inlineStr">
        <is>
          <t>Minden 1 Ft bérköltségre ennyi arányú nettó megtakarítás jut</t>
        </is>
      </c>
    </row>
    <row r="16">
      <c r="A16" t="inlineStr">
        <is>
          <t>Fedezet  (elkerült díj / munkáltatói költség)</t>
        </is>
      </c>
      <c r="B16" s="21">
        <f>IFERROR(B12/B9,"")</f>
        <v/>
      </c>
      <c r="E16" s="5" t="inlineStr">
        <is>
          <t>100% felett a pozíció kigazdálkodja önmagát</t>
        </is>
      </c>
    </row>
    <row r="17">
      <c r="A17" t="inlineStr">
        <is>
          <t>Fedezeti ügyszám – ennyi ügy hozná nullára</t>
        </is>
      </c>
      <c r="B17" s="9">
        <f>IFERROR(B9/('Adatok'!G20/'Adatok'!D20),"")</f>
        <v/>
      </c>
      <c r="E17" s="5" t="inlineStr">
        <is>
          <t>Átlagos ügydíjjal számolva – hasonlítsd a lenti tényleges ügyszámhoz</t>
        </is>
      </c>
    </row>
    <row r="18">
      <c r="A18" t="inlineStr">
        <is>
          <t>Tényleges évesített ügyszám</t>
        </is>
      </c>
      <c r="B18" s="9">
        <f>'Adatok'!D20</f>
        <v/>
      </c>
    </row>
    <row r="20">
      <c r="A20" s="16" t="inlineStr">
        <is>
          <t>3.  Kontrollnézet – tényleges elmúlt 12 hónap</t>
        </is>
      </c>
    </row>
    <row r="21">
      <c r="A21" t="inlineStr">
        <is>
          <t>Elkerült külső szolgáltatási díj (tény 12 hó)</t>
        </is>
      </c>
      <c r="B21" s="11">
        <f>'Adatok'!H20</f>
        <v/>
      </c>
    </row>
    <row r="22">
      <c r="A22" s="12" t="inlineStr">
        <is>
          <t>Nettó megtakarítás (tény 12 hó)</t>
        </is>
      </c>
      <c r="B22" s="15">
        <f>B21-B9</f>
        <v/>
      </c>
      <c r="E22" s="5" t="inlineStr">
        <is>
          <t>Csak a megtörtént ügyek – a legkevésbé támadható szám. Ha ez és az évesített nézet is pozitív, nincs mit vitatni.</t>
        </is>
      </c>
    </row>
    <row r="24">
      <c r="A24" s="16" t="inlineStr">
        <is>
          <t>4.  Hároméves kumulált hatás (évesített alapon)</t>
        </is>
      </c>
    </row>
    <row r="25">
      <c r="A25" t="inlineStr">
        <is>
          <t>Éves bérindexálás</t>
        </is>
      </c>
      <c r="B25" s="17" t="n"/>
    </row>
    <row r="26">
      <c r="A26" t="inlineStr">
        <is>
          <t>Külső szolgáltatói díjak éves emelkedése</t>
        </is>
      </c>
      <c r="B26" s="17" t="n"/>
      <c r="E26" s="5" t="inlineStr">
        <is>
          <t>Ha a két indexet egyenlőre állítod, az a semleges feltételezés. Ha a bérindexet magasabbra, az a konzervatív (óvatos) változat.</t>
        </is>
      </c>
    </row>
    <row r="28" ht="28" customHeight="1">
      <c r="A28" s="6" t="inlineStr">
        <is>
          <t>Év</t>
        </is>
      </c>
      <c r="B28" s="6" t="inlineStr">
        <is>
          <t>Elkerült díj</t>
        </is>
      </c>
      <c r="C28" s="6" t="inlineStr">
        <is>
          <t>Munkáltatói költség</t>
        </is>
      </c>
      <c r="D28" s="6" t="inlineStr">
        <is>
          <t>Nettó megtakarítás</t>
        </is>
      </c>
    </row>
    <row r="29">
      <c r="A29" s="12" t="inlineStr">
        <is>
          <t>1. év</t>
        </is>
      </c>
      <c r="B29" s="11">
        <f>ROUND($B$12*(1+$B$26)^0,0)</f>
        <v/>
      </c>
      <c r="C29" s="11">
        <f>ROUND($B$9*(1+$B$25)^0,0)</f>
        <v/>
      </c>
      <c r="D29" s="11">
        <f>B29-C29</f>
        <v/>
      </c>
    </row>
    <row r="30">
      <c r="A30" s="12" t="inlineStr">
        <is>
          <t>2. év</t>
        </is>
      </c>
      <c r="B30" s="11">
        <f>ROUND($B$12*(1+$B$26)^1,0)</f>
        <v/>
      </c>
      <c r="C30" s="11">
        <f>ROUND($B$9*(1+$B$25)^1,0)</f>
        <v/>
      </c>
      <c r="D30" s="11">
        <f>B30-C30</f>
        <v/>
      </c>
    </row>
    <row r="31">
      <c r="A31" s="12" t="inlineStr">
        <is>
          <t>3. év</t>
        </is>
      </c>
      <c r="B31" s="11">
        <f>ROUND($B$12*(1+$B$26)^2,0)</f>
        <v/>
      </c>
      <c r="C31" s="11">
        <f>ROUND($B$9*(1+$B$25)^2,0)</f>
        <v/>
      </c>
      <c r="D31" s="11">
        <f>B31-C31</f>
        <v/>
      </c>
    </row>
    <row r="32">
      <c r="A32" s="12" t="inlineStr">
        <is>
          <t>3 év összesen</t>
        </is>
      </c>
      <c r="B32" s="15">
        <f>SUM(B29:B31)</f>
        <v/>
      </c>
      <c r="C32" s="15">
        <f>SUM(C29:C31)</f>
        <v/>
      </c>
      <c r="D32" s="15">
        <f>SUM(D29:D31)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2026-10-06T12:04:50Z</dcterms:created>
  <dcterms:modified xmlns:dcterms="http://purl.org/dc/terms/" xmlns:xsi="http://www.w3.org/2001/XMLSchema-instance" xsi:type="dcterms:W3CDTF">2026-10-06T12:04:50Z</dcterms:modified>
</cp:coreProperties>
</file>